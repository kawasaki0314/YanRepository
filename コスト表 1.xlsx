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enjou\Documents\GitHub\YanRepository\"/>
    </mc:Choice>
  </mc:AlternateContent>
  <xr:revisionPtr revIDLastSave="0" documentId="13_ncr:1_{40743AD9-9A75-4429-8D78-3F706DE6C7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埋まってるヤン編" sheetId="4" r:id="rId1"/>
    <sheet name="Sheet1" sheetId="5" r:id="rId2"/>
  </sheets>
  <definedNames>
    <definedName name="_xlnm._FilterDatabase" localSheetId="0" hidden="1">埋まってるヤン編!$E$5:$F$5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  <c r="J6" i="4"/>
  <c r="J8" i="4"/>
  <c r="J19" i="4"/>
  <c r="J17" i="4"/>
  <c r="J16" i="4"/>
  <c r="J9" i="4"/>
  <c r="M7" i="4" l="1"/>
  <c r="N7" i="4" s="1"/>
  <c r="J7" i="4"/>
  <c r="L7" i="4" s="1"/>
  <c r="M16" i="4"/>
  <c r="N16" i="4" s="1"/>
  <c r="M17" i="4"/>
  <c r="N17" i="4" s="1"/>
  <c r="M19" i="4"/>
  <c r="N19" i="4" s="1"/>
  <c r="K16" i="4"/>
  <c r="L16" i="4" s="1"/>
  <c r="K17" i="4"/>
  <c r="L17" i="4" s="1"/>
  <c r="K19" i="4"/>
  <c r="L19" i="4" s="1"/>
</calcChain>
</file>

<file path=xl/sharedStrings.xml><?xml version="1.0" encoding="utf-8"?>
<sst xmlns="http://schemas.openxmlformats.org/spreadsheetml/2006/main" count="151" uniqueCount="92">
  <si>
    <t>コスト</t>
    <phoneticPr fontId="1"/>
  </si>
  <si>
    <t>実コスト</t>
    <rPh sb="0" eb="1">
      <t>ジツ</t>
    </rPh>
    <phoneticPr fontId="1"/>
  </si>
  <si>
    <t>判定</t>
    <rPh sb="0" eb="2">
      <t>ハンテイ</t>
    </rPh>
    <phoneticPr fontId="1"/>
  </si>
  <si>
    <t>総コスト</t>
    <rPh sb="0" eb="1">
      <t>ソウ</t>
    </rPh>
    <phoneticPr fontId="1"/>
  </si>
  <si>
    <t>消化コスト</t>
    <rPh sb="0" eb="2">
      <t>ショウカ</t>
    </rPh>
    <phoneticPr fontId="1"/>
  </si>
  <si>
    <t>土日含む日数</t>
    <rPh sb="0" eb="3">
      <t>ドニチフク</t>
    </rPh>
    <rPh sb="4" eb="6">
      <t>ニッスウ</t>
    </rPh>
    <phoneticPr fontId="1"/>
  </si>
  <si>
    <t>消費コスト / 土日含む日数</t>
    <rPh sb="0" eb="2">
      <t>ショウヒ</t>
    </rPh>
    <rPh sb="8" eb="11">
      <t>ドニチフク</t>
    </rPh>
    <rPh sb="12" eb="14">
      <t>ニッスウ</t>
    </rPh>
    <phoneticPr fontId="1"/>
  </si>
  <si>
    <t>・ライブラリ設計</t>
    <rPh sb="6" eb="8">
      <t>セッケイ</t>
    </rPh>
    <phoneticPr fontId="1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</si>
  <si>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1"/>
  </si>
  <si>
    <t>消費コスト / 日数</t>
    <rPh sb="0" eb="2">
      <t>ショウヒ</t>
    </rPh>
    <rPh sb="8" eb="10">
      <t>ニッスウ</t>
    </rPh>
    <phoneticPr fontId="1"/>
  </si>
  <si>
    <t>・アルファ素材集め</t>
    <rPh sb="5" eb="7">
      <t>ソザイ</t>
    </rPh>
    <rPh sb="7" eb="8">
      <t>アツ</t>
    </rPh>
    <phoneticPr fontId="1"/>
  </si>
  <si>
    <t>開始日</t>
    <rPh sb="0" eb="3">
      <t>カイシビ</t>
    </rPh>
    <phoneticPr fontId="1"/>
  </si>
  <si>
    <t>　ー　モデル</t>
    <phoneticPr fontId="1"/>
  </si>
  <si>
    <t>今日の日付</t>
    <rPh sb="0" eb="2">
      <t>キョウ</t>
    </rPh>
    <rPh sb="3" eb="5">
      <t>ヒヅケ</t>
    </rPh>
    <phoneticPr fontId="1"/>
  </si>
  <si>
    <t>　ー　モーション</t>
    <phoneticPr fontId="1"/>
  </si>
  <si>
    <t>　ー　UI素材</t>
    <rPh sb="5" eb="7">
      <t>ソザイ</t>
    </rPh>
    <phoneticPr fontId="1"/>
  </si>
  <si>
    <t>　ー　SE</t>
    <phoneticPr fontId="1"/>
  </si>
  <si>
    <t>　ー　BGM</t>
    <phoneticPr fontId="1"/>
  </si>
  <si>
    <t>　ー　マップ素材</t>
    <rPh sb="6" eb="8">
      <t>ソザイ</t>
    </rPh>
    <phoneticPr fontId="1"/>
  </si>
  <si>
    <t>　ー　エフェクト</t>
    <phoneticPr fontId="1"/>
  </si>
  <si>
    <t>残り日数(土日除く)</t>
    <rPh sb="0" eb="1">
      <t>ノコ</t>
    </rPh>
    <rPh sb="2" eb="4">
      <t>ニッスウ</t>
    </rPh>
    <rPh sb="5" eb="7">
      <t>ドニチ</t>
    </rPh>
    <rPh sb="7" eb="8">
      <t>ノゾ</t>
    </rPh>
    <phoneticPr fontId="1"/>
  </si>
  <si>
    <t>一日の消費コスト</t>
    <rPh sb="0" eb="2">
      <t>イチニチ</t>
    </rPh>
    <rPh sb="3" eb="5">
      <t>ショウヒ</t>
    </rPh>
    <phoneticPr fontId="1"/>
  </si>
  <si>
    <t>残り日数(土日含む)</t>
    <rPh sb="0" eb="1">
      <t>ノコ</t>
    </rPh>
    <rPh sb="2" eb="4">
      <t>ニッスウ</t>
    </rPh>
    <rPh sb="5" eb="8">
      <t>ドニチフク</t>
    </rPh>
    <phoneticPr fontId="1"/>
  </si>
  <si>
    <t>土日込みの消費コスト</t>
    <rPh sb="0" eb="2">
      <t>ドニチ</t>
    </rPh>
    <rPh sb="2" eb="3">
      <t>コ</t>
    </rPh>
    <rPh sb="5" eb="7">
      <t>ショウヒ</t>
    </rPh>
    <phoneticPr fontId="1"/>
  </si>
  <si>
    <t>理想</t>
    <rPh sb="0" eb="2">
      <t>リソウ</t>
    </rPh>
    <phoneticPr fontId="1"/>
  </si>
  <si>
    <t>デッドライン</t>
    <phoneticPr fontId="1"/>
  </si>
  <si>
    <t>真実のデッドライン</t>
    <rPh sb="0" eb="2">
      <t>シンジツ</t>
    </rPh>
    <phoneticPr fontId="1"/>
  </si>
  <si>
    <t>・プレイヤー</t>
    <phoneticPr fontId="1"/>
  </si>
  <si>
    <t>　―　ステータス</t>
    <phoneticPr fontId="1"/>
  </si>
  <si>
    <t>　－　死亡</t>
    <rPh sb="3" eb="5">
      <t>シボウ</t>
    </rPh>
    <phoneticPr fontId="1"/>
  </si>
  <si>
    <t>　－　アニメーション実装</t>
    <rPh sb="10" eb="12">
      <t>ジッソウ</t>
    </rPh>
    <phoneticPr fontId="1"/>
  </si>
  <si>
    <t>・敵</t>
    <rPh sb="1" eb="2">
      <t>テキ</t>
    </rPh>
    <phoneticPr fontId="1"/>
  </si>
  <si>
    <t>・カメラ</t>
    <phoneticPr fontId="1"/>
  </si>
  <si>
    <t>　ー　移動</t>
  </si>
  <si>
    <t>　ー　回転</t>
  </si>
  <si>
    <t>・マップ</t>
    <phoneticPr fontId="1"/>
  </si>
  <si>
    <t>　－　マップ設計</t>
  </si>
  <si>
    <t>　ー　マップ実装</t>
  </si>
  <si>
    <t>・音処理</t>
    <rPh sb="1" eb="4">
      <t>オトショリ</t>
    </rPh>
    <phoneticPr fontId="1"/>
  </si>
  <si>
    <t>　ー　BGM再生</t>
    <phoneticPr fontId="1"/>
  </si>
  <si>
    <t>　ー　SE再生</t>
  </si>
  <si>
    <t>　ー　音量調整の処理</t>
  </si>
  <si>
    <t>・UI</t>
    <phoneticPr fontId="1"/>
  </si>
  <si>
    <t>　ー　タイトル画面</t>
    <phoneticPr fontId="1"/>
  </si>
  <si>
    <t>　ー　オプション画面</t>
    <phoneticPr fontId="1"/>
  </si>
  <si>
    <t>　ー　画面遷移</t>
  </si>
  <si>
    <t>・エフェクト</t>
  </si>
  <si>
    <t>　ー　エフェクト再生</t>
  </si>
  <si>
    <t>　ー　エフェクト停止</t>
  </si>
  <si>
    <t>　ー　エフェクト実装</t>
  </si>
  <si>
    <t>・ビルドテスト</t>
    <phoneticPr fontId="1"/>
  </si>
  <si>
    <t>プロト</t>
  </si>
  <si>
    <t>　ー　アニメーション</t>
  </si>
  <si>
    <t>　ー　ステータス</t>
  </si>
  <si>
    <t>　ー　死亡</t>
  </si>
  <si>
    <t>　－　ピストルを撃つ</t>
  </si>
  <si>
    <t>　ー　スポナー</t>
  </si>
  <si>
    <t>　ー　攻撃</t>
  </si>
  <si>
    <t>　ー　イージング</t>
  </si>
  <si>
    <t>　ー　ゲーム画面</t>
  </si>
  <si>
    <t>・UX</t>
  </si>
  <si>
    <t>バージョン</t>
  </si>
  <si>
    <t>アルファ</t>
  </si>
  <si>
    <t>川﨑竜之介</t>
  </si>
  <si>
    <t>平山光羽</t>
  </si>
  <si>
    <t>軸薗洸允</t>
  </si>
  <si>
    <t>山下成</t>
  </si>
  <si>
    <t>連城陸史</t>
  </si>
  <si>
    <t>担当</t>
  </si>
  <si>
    <t>報連相厳守！</t>
  </si>
  <si>
    <t>全員</t>
    <rPh sb="0" eb="2">
      <t>ゼンイン</t>
    </rPh>
    <phoneticPr fontId="1"/>
  </si>
  <si>
    <t>1コスト:1時間 (1日は基本3コスト)</t>
    <phoneticPr fontId="1"/>
  </si>
  <si>
    <t>アルファ</t>
    <phoneticPr fontId="1"/>
  </si>
  <si>
    <t>　－　被弾(当たり判定)</t>
    <rPh sb="6" eb="7">
      <t>ア</t>
    </rPh>
    <rPh sb="9" eb="11">
      <t>ハンテイ</t>
    </rPh>
    <phoneticPr fontId="1"/>
  </si>
  <si>
    <t>　ー　被弾(当たり判定)</t>
    <rPh sb="3" eb="5">
      <t>ヒダン</t>
    </rPh>
    <rPh sb="6" eb="7">
      <t>ア</t>
    </rPh>
    <rPh sb="9" eb="11">
      <t>ハンテイ</t>
    </rPh>
    <phoneticPr fontId="1"/>
  </si>
  <si>
    <t>日</t>
  </si>
  <si>
    <t>月</t>
  </si>
  <si>
    <t>火</t>
  </si>
  <si>
    <t>水</t>
  </si>
  <si>
    <t>木</t>
  </si>
  <si>
    <t>金</t>
  </si>
  <si>
    <t>土</t>
  </si>
  <si>
    <t>プロトタイプ</t>
  </si>
  <si>
    <t>ゲームの基礎、面白さがわかる。見た目は気にしない</t>
  </si>
  <si>
    <t>雑でも最後まで遊べる</t>
  </si>
  <si>
    <t>ベータ</t>
  </si>
  <si>
    <t>仮置きだったものを煮詰めていく。バランス調整など</t>
  </si>
  <si>
    <t>マスター</t>
  </si>
  <si>
    <t>主にバグ取り。仕様の追加は行わない</t>
  </si>
  <si>
    <t>完全提出</t>
  </si>
  <si>
    <t>9月</t>
    <phoneticPr fontId="1"/>
  </si>
  <si>
    <t>10月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</si>
</sst>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u/>
      <sz val="28"/>
      <color rgb="FFFF0000"/>
      <name val="Yu Gothic"/>
      <family val="2"/>
      <scheme val="minor"/>
    </font>
    <font>
      <sz val="11"/>
      <color rgb="FF000000"/>
      <name val="游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1A1E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1" tint="0.499984740745262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4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9" borderId="1" xfId="0" applyFill="1" applyBorder="1"/>
    <xf numFmtId="0" fontId="0" fillId="0" borderId="1" xfId="0" applyBorder="1"/>
    <xf numFmtId="0" fontId="0" fillId="6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5" borderId="1" xfId="0" applyFill="1" applyBorder="1"/>
    <xf numFmtId="0" fontId="0" fillId="7" borderId="2" xfId="0" applyFill="1" applyBorder="1"/>
    <xf numFmtId="0" fontId="0" fillId="12" borderId="1" xfId="0" applyFill="1" applyBorder="1"/>
    <xf numFmtId="0" fontId="0" fillId="5" borderId="2" xfId="0" applyFill="1" applyBorder="1"/>
    <xf numFmtId="0" fontId="0" fillId="9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2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4" borderId="1" xfId="0" applyFill="1" applyBorder="1"/>
    <xf numFmtId="0" fontId="0" fillId="15" borderId="1" xfId="0" applyFill="1" applyBorder="1"/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17" borderId="6" xfId="0" applyFont="1" applyFill="1" applyBorder="1" applyAlignment="1">
      <alignment vertical="center"/>
    </xf>
    <xf numFmtId="0" fontId="4" fillId="17" borderId="1" xfId="0" applyFont="1" applyFill="1" applyBorder="1" applyAlignment="1">
      <alignment vertical="center"/>
    </xf>
    <xf numFmtId="0" fontId="4" fillId="18" borderId="1" xfId="0" applyFont="1" applyFill="1" applyBorder="1" applyAlignment="1">
      <alignment vertical="center"/>
    </xf>
    <xf numFmtId="0" fontId="4" fillId="19" borderId="1" xfId="0" applyFont="1" applyFill="1" applyBorder="1" applyAlignment="1">
      <alignment vertical="center"/>
    </xf>
    <xf numFmtId="0" fontId="4" fillId="20" borderId="1" xfId="0" applyFont="1" applyFill="1" applyBorder="1" applyAlignment="1">
      <alignment vertical="center"/>
    </xf>
    <xf numFmtId="0" fontId="4" fillId="21" borderId="1" xfId="0" applyFont="1" applyFill="1" applyBorder="1" applyAlignment="1">
      <alignment vertical="center"/>
    </xf>
    <xf numFmtId="0" fontId="4" fillId="19" borderId="6" xfId="0" applyFont="1" applyFill="1" applyBorder="1" applyAlignment="1">
      <alignment vertical="center"/>
    </xf>
    <xf numFmtId="0" fontId="4" fillId="22" borderId="6" xfId="0" applyFont="1" applyFill="1" applyBorder="1" applyAlignment="1">
      <alignment vertical="center"/>
    </xf>
    <xf numFmtId="0" fontId="4" fillId="22" borderId="4" xfId="0" applyFont="1" applyFill="1" applyBorder="1" applyAlignment="1">
      <alignment vertical="center"/>
    </xf>
    <xf numFmtId="0" fontId="4" fillId="22" borderId="5" xfId="0" applyFont="1" applyFill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22" borderId="14" xfId="0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22" borderId="19" xfId="0" applyFont="1" applyFill="1" applyBorder="1" applyAlignment="1">
      <alignment vertical="center"/>
    </xf>
    <xf numFmtId="0" fontId="4" fillId="22" borderId="20" xfId="0" applyFont="1" applyFill="1" applyBorder="1" applyAlignment="1">
      <alignment vertical="center"/>
    </xf>
    <xf numFmtId="0" fontId="4" fillId="21" borderId="6" xfId="0" applyFont="1" applyFill="1" applyBorder="1" applyAlignment="1">
      <alignment vertical="center"/>
    </xf>
    <xf numFmtId="0" fontId="4" fillId="23" borderId="6" xfId="0" applyFont="1" applyFill="1" applyBorder="1" applyAlignment="1">
      <alignment vertical="center"/>
    </xf>
    <xf numFmtId="0" fontId="4" fillId="23" borderId="14" xfId="0" applyFont="1" applyFill="1" applyBorder="1" applyAlignment="1">
      <alignment vertical="center"/>
    </xf>
    <xf numFmtId="0" fontId="4" fillId="17" borderId="14" xfId="0" applyFont="1" applyFill="1" applyBorder="1" applyAlignment="1">
      <alignment vertical="center"/>
    </xf>
    <xf numFmtId="0" fontId="4" fillId="18" borderId="6" xfId="0" applyFont="1" applyFill="1" applyBorder="1" applyAlignment="1">
      <alignment vertical="center"/>
    </xf>
    <xf numFmtId="0" fontId="4" fillId="18" borderId="5" xfId="0" applyFont="1" applyFill="1" applyBorder="1" applyAlignment="1">
      <alignment vertical="center"/>
    </xf>
    <xf numFmtId="0" fontId="4" fillId="18" borderId="17" xfId="0" applyFont="1" applyFill="1" applyBorder="1" applyAlignment="1">
      <alignment vertical="center"/>
    </xf>
    <xf numFmtId="0" fontId="4" fillId="19" borderId="14" xfId="0" applyFont="1" applyFill="1" applyBorder="1" applyAlignment="1">
      <alignment vertical="center"/>
    </xf>
    <xf numFmtId="0" fontId="3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1A1E6"/>
      <color rgb="FFE551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B4FF-FA90-4FC6-AD5B-A4465B00E0BA}">
  <dimension ref="A2:N71"/>
  <sheetViews>
    <sheetView tabSelected="1" topLeftCell="A31" workbookViewId="0">
      <selection activeCell="E40" sqref="E40"/>
    </sheetView>
  </sheetViews>
  <sheetFormatPr defaultRowHeight="18.75"/>
  <cols>
    <col min="1" max="1" width="9.25" customWidth="1"/>
    <col min="2" max="2" width="37.75" bestFit="1" customWidth="1"/>
    <col min="3" max="3" width="10.625" bestFit="1" customWidth="1"/>
    <col min="4" max="4" width="13" bestFit="1" customWidth="1"/>
    <col min="5" max="5" width="10.375" bestFit="1" customWidth="1"/>
    <col min="6" max="6" width="17.875" bestFit="1" customWidth="1"/>
    <col min="7" max="7" width="14.625" customWidth="1"/>
    <col min="8" max="9" width="21" customWidth="1"/>
    <col min="10" max="10" width="17.25" customWidth="1"/>
    <col min="11" max="11" width="18.875" bestFit="1" customWidth="1"/>
    <col min="12" max="12" width="21.375" bestFit="1" customWidth="1"/>
    <col min="13" max="13" width="17.75" customWidth="1"/>
    <col min="14" max="14" width="9" customWidth="1"/>
    <col min="15" max="15" width="19" customWidth="1"/>
  </cols>
  <sheetData>
    <row r="2" spans="1:14">
      <c r="B2" s="58" t="s">
        <v>69</v>
      </c>
      <c r="C2" s="58"/>
      <c r="D2" s="58"/>
      <c r="E2" s="58"/>
      <c r="F2" s="58"/>
      <c r="G2" s="58"/>
    </row>
    <row r="3" spans="1:14">
      <c r="B3" s="58"/>
      <c r="C3" s="58"/>
      <c r="D3" s="58"/>
      <c r="E3" s="58"/>
      <c r="F3" s="58"/>
      <c r="G3" s="58"/>
    </row>
    <row r="4" spans="1:14">
      <c r="A4" t="s">
        <v>71</v>
      </c>
    </row>
    <row r="5" spans="1:14">
      <c r="B5" s="19"/>
      <c r="C5" s="20" t="s">
        <v>0</v>
      </c>
      <c r="D5" s="21" t="s">
        <v>1</v>
      </c>
      <c r="E5" s="22" t="s">
        <v>2</v>
      </c>
      <c r="F5" s="23" t="s">
        <v>61</v>
      </c>
      <c r="G5" s="24" t="s">
        <v>68</v>
      </c>
      <c r="I5" s="6" t="s">
        <v>3</v>
      </c>
      <c r="J5">
        <f>SUM($C:$C)</f>
        <v>93</v>
      </c>
    </row>
    <row r="6" spans="1:14">
      <c r="B6" s="4" t="s">
        <v>7</v>
      </c>
      <c r="C6" s="4"/>
      <c r="D6" s="4"/>
      <c r="E6" s="15" t="b">
        <v>0</v>
      </c>
      <c r="F6" s="4"/>
      <c r="G6" s="5"/>
      <c r="I6" s="7" t="s">
        <v>4</v>
      </c>
      <c r="J6">
        <f>SUMIF(E6:E49,"TRUE",C6:C49)</f>
        <v>6</v>
      </c>
      <c r="M6" t="s">
        <v>5</v>
      </c>
      <c r="N6" t="s">
        <v>6</v>
      </c>
    </row>
    <row r="7" spans="1:14">
      <c r="B7" s="4" t="s">
        <v>10</v>
      </c>
      <c r="C7" s="4"/>
      <c r="D7" s="4"/>
      <c r="E7" s="15" t="b">
        <v>0</v>
      </c>
      <c r="F7" s="4"/>
      <c r="G7" s="5"/>
      <c r="I7" s="8" t="s">
        <v>8</v>
      </c>
      <c r="J7" s="2">
        <f ca="1">NETWORKDAYS(J8,J9)</f>
        <v>15</v>
      </c>
      <c r="K7" t="s">
        <v>9</v>
      </c>
      <c r="L7" s="3">
        <f ca="1" xml:space="preserve"> J6 / J7</f>
        <v>0.4</v>
      </c>
      <c r="M7" s="2">
        <f ca="1">_xlfn.DAYS(J9,J8)</f>
        <v>20</v>
      </c>
      <c r="N7" s="3">
        <f ca="1">J6/M7</f>
        <v>0.3</v>
      </c>
    </row>
    <row r="8" spans="1:14">
      <c r="B8" s="13" t="s">
        <v>12</v>
      </c>
      <c r="C8" s="13"/>
      <c r="D8" s="13"/>
      <c r="E8" s="16" t="b">
        <v>0</v>
      </c>
      <c r="F8" s="18" t="s">
        <v>62</v>
      </c>
      <c r="G8" s="5" t="s">
        <v>70</v>
      </c>
      <c r="I8" s="9" t="s">
        <v>11</v>
      </c>
      <c r="J8" s="1">
        <f>DATE(2026,9,9)</f>
        <v>46274</v>
      </c>
    </row>
    <row r="9" spans="1:14">
      <c r="B9" s="13" t="s">
        <v>14</v>
      </c>
      <c r="C9" s="13"/>
      <c r="D9" s="13"/>
      <c r="E9" s="16" t="b">
        <v>0</v>
      </c>
      <c r="F9" s="18" t="s">
        <v>62</v>
      </c>
      <c r="G9" s="5" t="s">
        <v>70</v>
      </c>
      <c r="I9" s="10" t="s">
        <v>13</v>
      </c>
      <c r="J9" s="1">
        <f ca="1">TODAY()</f>
        <v>46294</v>
      </c>
    </row>
    <row r="10" spans="1:14">
      <c r="B10" s="13" t="s">
        <v>15</v>
      </c>
      <c r="C10" s="13"/>
      <c r="D10" s="13"/>
      <c r="E10" s="16" t="b">
        <v>0</v>
      </c>
      <c r="F10" s="18" t="s">
        <v>62</v>
      </c>
      <c r="G10" s="5" t="s">
        <v>70</v>
      </c>
    </row>
    <row r="11" spans="1:14">
      <c r="B11" s="13" t="s">
        <v>16</v>
      </c>
      <c r="C11" s="13"/>
      <c r="D11" s="13"/>
      <c r="E11" s="16" t="b">
        <v>0</v>
      </c>
      <c r="F11" s="18" t="s">
        <v>62</v>
      </c>
      <c r="G11" s="5" t="s">
        <v>70</v>
      </c>
    </row>
    <row r="12" spans="1:14">
      <c r="B12" s="13" t="s">
        <v>17</v>
      </c>
      <c r="C12" s="13"/>
      <c r="D12" s="13"/>
      <c r="E12" s="16" t="b">
        <v>0</v>
      </c>
      <c r="F12" s="18" t="s">
        <v>62</v>
      </c>
      <c r="G12" s="5" t="s">
        <v>70</v>
      </c>
    </row>
    <row r="13" spans="1:14">
      <c r="B13" s="13" t="s">
        <v>18</v>
      </c>
      <c r="C13" s="13"/>
      <c r="D13" s="13"/>
      <c r="E13" s="16" t="b">
        <v>0</v>
      </c>
      <c r="F13" s="18" t="s">
        <v>62</v>
      </c>
      <c r="G13" s="5" t="s">
        <v>70</v>
      </c>
    </row>
    <row r="14" spans="1:14">
      <c r="B14" s="13" t="s">
        <v>19</v>
      </c>
      <c r="C14" s="13"/>
      <c r="D14" s="13"/>
      <c r="E14" s="16" t="b">
        <v>0</v>
      </c>
      <c r="F14" s="18" t="s">
        <v>62</v>
      </c>
      <c r="G14" s="5" t="s">
        <v>70</v>
      </c>
    </row>
    <row r="15" spans="1:14">
      <c r="B15" s="4" t="s">
        <v>27</v>
      </c>
      <c r="C15" s="4"/>
      <c r="D15" s="4"/>
      <c r="E15" s="15" t="b">
        <v>0</v>
      </c>
      <c r="F15" s="4"/>
      <c r="G15" s="5"/>
      <c r="K15" t="s">
        <v>20</v>
      </c>
      <c r="L15" t="s">
        <v>21</v>
      </c>
      <c r="M15" t="s">
        <v>22</v>
      </c>
      <c r="N15" t="s">
        <v>23</v>
      </c>
    </row>
    <row r="16" spans="1:14">
      <c r="B16" s="13" t="s">
        <v>28</v>
      </c>
      <c r="C16" s="13">
        <v>2</v>
      </c>
      <c r="D16" s="13"/>
      <c r="E16" s="16" t="b">
        <v>0</v>
      </c>
      <c r="F16" s="17" t="s">
        <v>51</v>
      </c>
      <c r="G16" s="5" t="s">
        <v>64</v>
      </c>
      <c r="I16" s="6" t="s">
        <v>24</v>
      </c>
      <c r="J16" s="1">
        <f>DATE(2026,10,20)</f>
        <v>46315</v>
      </c>
      <c r="K16" s="2">
        <f ca="1">NETWORKDAYS(TODAY(),J16)</f>
        <v>16</v>
      </c>
      <c r="L16" s="3">
        <f ca="1">($J$5 - $J$6) / K16</f>
        <v>5.4375</v>
      </c>
      <c r="M16">
        <f ca="1">_xlfn.DAYS(J16,$J$9)</f>
        <v>21</v>
      </c>
      <c r="N16" s="3">
        <f ca="1">($J$5 - $J$6) / M16</f>
        <v>4.1428571428571432</v>
      </c>
    </row>
    <row r="17" spans="2:14">
      <c r="B17" s="13" t="s">
        <v>29</v>
      </c>
      <c r="C17" s="13">
        <v>2</v>
      </c>
      <c r="D17" s="13"/>
      <c r="E17" s="16" t="b">
        <v>0</v>
      </c>
      <c r="F17" s="17" t="s">
        <v>51</v>
      </c>
      <c r="G17" s="5" t="s">
        <v>64</v>
      </c>
      <c r="I17" s="11" t="s">
        <v>25</v>
      </c>
      <c r="J17" s="1">
        <f>DATE(2026,10,20)</f>
        <v>46315</v>
      </c>
      <c r="K17" s="2">
        <f t="shared" ref="K17:K19" ca="1" si="0">NETWORKDAYS(TODAY(),J17)</f>
        <v>16</v>
      </c>
      <c r="L17" s="3">
        <f ca="1">($J$5 - $J$6) / K17</f>
        <v>5.4375</v>
      </c>
      <c r="M17">
        <f t="shared" ref="M17:M19" ca="1" si="1">_xlfn.DAYS(J17,$J$9)</f>
        <v>21</v>
      </c>
      <c r="N17" s="3">
        <f ca="1">($J$5 - $J$6) / M17</f>
        <v>4.1428571428571432</v>
      </c>
    </row>
    <row r="18" spans="2:14">
      <c r="B18" s="13" t="s">
        <v>73</v>
      </c>
      <c r="C18" s="13">
        <v>5</v>
      </c>
      <c r="D18" s="13"/>
      <c r="E18" s="16" t="b">
        <v>0</v>
      </c>
      <c r="F18" s="17" t="s">
        <v>51</v>
      </c>
      <c r="G18" s="5" t="s">
        <v>64</v>
      </c>
      <c r="I18" s="14"/>
      <c r="J18" s="1"/>
      <c r="K18" s="2"/>
      <c r="L18" s="3"/>
      <c r="N18" s="3"/>
    </row>
    <row r="19" spans="2:14">
      <c r="B19" s="13" t="s">
        <v>30</v>
      </c>
      <c r="C19" s="13">
        <v>4</v>
      </c>
      <c r="D19" s="13"/>
      <c r="E19" s="16" t="b">
        <v>0</v>
      </c>
      <c r="F19" s="18" t="s">
        <v>72</v>
      </c>
      <c r="G19" s="5" t="s">
        <v>64</v>
      </c>
      <c r="I19" s="12" t="s">
        <v>26</v>
      </c>
      <c r="J19" s="1">
        <f>DATE(2026,10,20)</f>
        <v>46315</v>
      </c>
      <c r="K19" s="2">
        <f t="shared" ca="1" si="0"/>
        <v>16</v>
      </c>
      <c r="L19" s="3">
        <f ca="1">($J$5 - $J$6) / K19</f>
        <v>5.4375</v>
      </c>
      <c r="M19">
        <f t="shared" ca="1" si="1"/>
        <v>21</v>
      </c>
      <c r="N19" s="3">
        <f ca="1">($J$5 - $J$6) / M19</f>
        <v>4.1428571428571432</v>
      </c>
    </row>
    <row r="20" spans="2:14">
      <c r="B20" s="13" t="s">
        <v>55</v>
      </c>
      <c r="C20" s="13">
        <v>10</v>
      </c>
      <c r="D20" s="13"/>
      <c r="E20" s="16" t="b">
        <v>0</v>
      </c>
      <c r="F20" s="17" t="s">
        <v>51</v>
      </c>
      <c r="G20" s="5" t="s">
        <v>64</v>
      </c>
      <c r="I20" s="13"/>
      <c r="J20" s="1"/>
      <c r="K20" s="2"/>
      <c r="L20" s="3"/>
      <c r="N20" s="3"/>
    </row>
    <row r="21" spans="2:14">
      <c r="B21" s="4" t="s">
        <v>31</v>
      </c>
      <c r="C21" s="4"/>
      <c r="D21" s="4"/>
      <c r="E21" s="15" t="b">
        <v>0</v>
      </c>
      <c r="F21" s="4"/>
      <c r="G21" s="5"/>
      <c r="J21" s="1"/>
      <c r="K21" s="2"/>
      <c r="L21" s="3"/>
      <c r="N21" s="3"/>
    </row>
    <row r="22" spans="2:14">
      <c r="B22" s="13" t="s">
        <v>74</v>
      </c>
      <c r="C22" s="13">
        <v>5</v>
      </c>
      <c r="D22" s="13"/>
      <c r="E22" s="16" t="b">
        <v>0</v>
      </c>
      <c r="F22" s="17" t="s">
        <v>51</v>
      </c>
      <c r="G22" s="5" t="s">
        <v>65</v>
      </c>
    </row>
    <row r="23" spans="2:14">
      <c r="B23" s="13" t="s">
        <v>52</v>
      </c>
      <c r="C23" s="13">
        <v>4</v>
      </c>
      <c r="D23" s="13"/>
      <c r="E23" s="16" t="b">
        <v>0</v>
      </c>
      <c r="F23" s="18" t="s">
        <v>72</v>
      </c>
      <c r="G23" s="5" t="s">
        <v>65</v>
      </c>
    </row>
    <row r="24" spans="2:14">
      <c r="B24" s="13" t="s">
        <v>33</v>
      </c>
      <c r="C24" s="13">
        <v>2</v>
      </c>
      <c r="D24" s="13"/>
      <c r="E24" s="16" t="b">
        <v>0</v>
      </c>
      <c r="F24" s="17" t="s">
        <v>51</v>
      </c>
      <c r="G24" s="5" t="s">
        <v>65</v>
      </c>
    </row>
    <row r="25" spans="2:14">
      <c r="B25" s="13" t="s">
        <v>53</v>
      </c>
      <c r="C25" s="13">
        <v>2</v>
      </c>
      <c r="D25" s="13"/>
      <c r="E25" s="16" t="b">
        <v>0</v>
      </c>
      <c r="F25" s="17" t="s">
        <v>51</v>
      </c>
      <c r="G25" s="5" t="s">
        <v>65</v>
      </c>
    </row>
    <row r="26" spans="2:14">
      <c r="B26" s="13" t="s">
        <v>54</v>
      </c>
      <c r="C26" s="13">
        <v>2</v>
      </c>
      <c r="D26" s="13"/>
      <c r="E26" s="16" t="b">
        <v>0</v>
      </c>
      <c r="F26" s="17" t="s">
        <v>51</v>
      </c>
      <c r="G26" s="5" t="s">
        <v>65</v>
      </c>
    </row>
    <row r="27" spans="2:14">
      <c r="B27" s="13" t="s">
        <v>56</v>
      </c>
      <c r="C27" s="13">
        <v>4</v>
      </c>
      <c r="D27" s="13"/>
      <c r="E27" s="16" t="b">
        <v>0</v>
      </c>
      <c r="F27" s="17" t="s">
        <v>51</v>
      </c>
      <c r="G27" s="5" t="s">
        <v>65</v>
      </c>
    </row>
    <row r="28" spans="2:14">
      <c r="B28" s="13" t="s">
        <v>57</v>
      </c>
      <c r="C28" s="13">
        <v>2</v>
      </c>
      <c r="D28" s="13"/>
      <c r="E28" s="16" t="b">
        <v>0</v>
      </c>
      <c r="F28" s="17" t="s">
        <v>51</v>
      </c>
      <c r="G28" s="5" t="s">
        <v>65</v>
      </c>
    </row>
    <row r="29" spans="2:14">
      <c r="B29" s="4" t="s">
        <v>32</v>
      </c>
      <c r="C29" s="4"/>
      <c r="D29" s="4"/>
      <c r="E29" s="15" t="b">
        <v>0</v>
      </c>
      <c r="F29" s="4"/>
      <c r="G29" s="5"/>
    </row>
    <row r="30" spans="2:14">
      <c r="B30" s="13" t="s">
        <v>34</v>
      </c>
      <c r="C30" s="13">
        <v>6</v>
      </c>
      <c r="D30" s="13"/>
      <c r="E30" s="16" t="b">
        <v>0</v>
      </c>
      <c r="F30" s="17" t="s">
        <v>51</v>
      </c>
      <c r="G30" s="5" t="s">
        <v>63</v>
      </c>
    </row>
    <row r="31" spans="2:14">
      <c r="B31" s="13" t="s">
        <v>58</v>
      </c>
      <c r="C31" s="13">
        <v>6</v>
      </c>
      <c r="D31" s="13"/>
      <c r="E31" s="16" t="b">
        <v>0</v>
      </c>
      <c r="F31" s="17" t="s">
        <v>51</v>
      </c>
      <c r="G31" s="5" t="s">
        <v>63</v>
      </c>
    </row>
    <row r="32" spans="2:14">
      <c r="B32" s="4" t="s">
        <v>35</v>
      </c>
      <c r="C32" s="4"/>
      <c r="D32" s="4"/>
      <c r="E32" s="15" t="b">
        <v>0</v>
      </c>
      <c r="F32" s="4"/>
      <c r="G32" s="5"/>
    </row>
    <row r="33" spans="2:7">
      <c r="B33" s="13" t="s">
        <v>36</v>
      </c>
      <c r="C33" s="13">
        <v>2</v>
      </c>
      <c r="D33" s="13"/>
      <c r="E33" s="16" t="b">
        <v>0</v>
      </c>
      <c r="F33" s="18" t="s">
        <v>62</v>
      </c>
      <c r="G33" s="5" t="s">
        <v>63</v>
      </c>
    </row>
    <row r="34" spans="2:7">
      <c r="B34" s="13" t="s">
        <v>37</v>
      </c>
      <c r="C34" s="13">
        <v>3</v>
      </c>
      <c r="D34" s="13"/>
      <c r="E34" s="16" t="b">
        <v>0</v>
      </c>
      <c r="F34" s="18" t="s">
        <v>62</v>
      </c>
      <c r="G34" s="5" t="s">
        <v>63</v>
      </c>
    </row>
    <row r="35" spans="2:7">
      <c r="B35" s="4" t="s">
        <v>38</v>
      </c>
      <c r="C35" s="4"/>
      <c r="D35" s="4"/>
      <c r="E35" s="15" t="b">
        <v>0</v>
      </c>
      <c r="F35" s="4"/>
      <c r="G35" s="5"/>
    </row>
    <row r="36" spans="2:7">
      <c r="B36" s="13" t="s">
        <v>39</v>
      </c>
      <c r="C36" s="13">
        <v>2</v>
      </c>
      <c r="D36" s="13"/>
      <c r="E36" s="16" t="b">
        <v>0</v>
      </c>
      <c r="F36" s="18" t="s">
        <v>62</v>
      </c>
      <c r="G36" s="5" t="s">
        <v>66</v>
      </c>
    </row>
    <row r="37" spans="2:7">
      <c r="B37" s="13" t="s">
        <v>40</v>
      </c>
      <c r="C37" s="13">
        <v>5</v>
      </c>
      <c r="D37" s="13"/>
      <c r="E37" s="16" t="b">
        <v>0</v>
      </c>
      <c r="F37" s="18" t="s">
        <v>62</v>
      </c>
      <c r="G37" s="5" t="s">
        <v>66</v>
      </c>
    </row>
    <row r="38" spans="2:7">
      <c r="B38" s="13" t="s">
        <v>41</v>
      </c>
      <c r="C38" s="13">
        <v>3</v>
      </c>
      <c r="D38" s="13"/>
      <c r="E38" s="16" t="b">
        <v>0</v>
      </c>
      <c r="F38" s="18" t="s">
        <v>72</v>
      </c>
      <c r="G38" s="5" t="s">
        <v>66</v>
      </c>
    </row>
    <row r="39" spans="2:7">
      <c r="B39" s="4" t="s">
        <v>42</v>
      </c>
      <c r="C39" s="4"/>
      <c r="D39" s="4"/>
      <c r="E39" s="15" t="b">
        <v>0</v>
      </c>
      <c r="F39" s="4"/>
      <c r="G39" s="5"/>
    </row>
    <row r="40" spans="2:7">
      <c r="B40" s="13" t="s">
        <v>43</v>
      </c>
      <c r="C40" s="13">
        <v>3</v>
      </c>
      <c r="D40" s="13"/>
      <c r="E40" s="16" t="b">
        <v>0</v>
      </c>
      <c r="F40" s="17" t="s">
        <v>51</v>
      </c>
      <c r="G40" s="5" t="s">
        <v>67</v>
      </c>
    </row>
    <row r="41" spans="2:7">
      <c r="B41" s="13" t="s">
        <v>59</v>
      </c>
      <c r="C41" s="13">
        <v>3</v>
      </c>
      <c r="D41" s="13"/>
      <c r="E41" s="16" t="b">
        <v>1</v>
      </c>
      <c r="F41" s="17" t="s">
        <v>51</v>
      </c>
      <c r="G41" s="5" t="s">
        <v>67</v>
      </c>
    </row>
    <row r="42" spans="2:7">
      <c r="B42" s="13" t="s">
        <v>44</v>
      </c>
      <c r="C42" s="13">
        <v>3</v>
      </c>
      <c r="D42" s="13"/>
      <c r="E42" s="16" t="b">
        <v>0</v>
      </c>
      <c r="F42" s="18" t="s">
        <v>62</v>
      </c>
      <c r="G42" s="5" t="s">
        <v>65</v>
      </c>
    </row>
    <row r="43" spans="2:7">
      <c r="B43" s="4" t="s">
        <v>60</v>
      </c>
      <c r="C43" s="4"/>
      <c r="D43" s="4"/>
      <c r="E43" s="15" t="b">
        <v>0</v>
      </c>
      <c r="F43" s="4"/>
      <c r="G43" s="5"/>
    </row>
    <row r="44" spans="2:7">
      <c r="B44" s="13" t="s">
        <v>45</v>
      </c>
      <c r="C44" s="13">
        <v>3</v>
      </c>
      <c r="D44" s="13"/>
      <c r="E44" s="16" t="b">
        <v>1</v>
      </c>
      <c r="F44" s="17" t="s">
        <v>51</v>
      </c>
      <c r="G44" s="5" t="s">
        <v>67</v>
      </c>
    </row>
    <row r="45" spans="2:7">
      <c r="B45" s="4" t="s">
        <v>46</v>
      </c>
      <c r="C45" s="4"/>
      <c r="D45" s="4"/>
      <c r="E45" s="15" t="b">
        <v>0</v>
      </c>
      <c r="F45" s="4"/>
      <c r="G45" s="5"/>
    </row>
    <row r="46" spans="2:7">
      <c r="B46" s="13" t="s">
        <v>47</v>
      </c>
      <c r="C46" s="13">
        <v>5</v>
      </c>
      <c r="D46" s="13"/>
      <c r="E46" s="16" t="b">
        <v>0</v>
      </c>
      <c r="F46" s="18" t="s">
        <v>62</v>
      </c>
      <c r="G46" s="5" t="s">
        <v>66</v>
      </c>
    </row>
    <row r="47" spans="2:7">
      <c r="B47" s="13" t="s">
        <v>48</v>
      </c>
      <c r="C47" s="13">
        <v>5</v>
      </c>
      <c r="D47" s="13"/>
      <c r="E47" s="16" t="b">
        <v>0</v>
      </c>
      <c r="F47" s="18" t="s">
        <v>62</v>
      </c>
      <c r="G47" s="5" t="s">
        <v>66</v>
      </c>
    </row>
    <row r="48" spans="2:7">
      <c r="B48" s="13" t="s">
        <v>49</v>
      </c>
      <c r="C48" s="13"/>
      <c r="D48" s="13"/>
      <c r="E48" s="16" t="b">
        <v>0</v>
      </c>
      <c r="F48" s="18" t="s">
        <v>62</v>
      </c>
      <c r="G48" s="5" t="s">
        <v>66</v>
      </c>
    </row>
    <row r="49" spans="2:7">
      <c r="B49" s="13" t="s">
        <v>50</v>
      </c>
      <c r="C49" s="13"/>
      <c r="D49" s="13"/>
      <c r="E49" s="16" t="b">
        <v>0</v>
      </c>
      <c r="F49" s="18" t="s">
        <v>62</v>
      </c>
      <c r="G49" s="5"/>
    </row>
    <row r="68" spans="9:9">
      <c r="I68" s="1"/>
    </row>
    <row r="69" spans="9:9">
      <c r="I69" s="1"/>
    </row>
    <row r="70" spans="9:9">
      <c r="I70" s="1"/>
    </row>
    <row r="71" spans="9:9">
      <c r="I71" s="1"/>
    </row>
  </sheetData>
  <autoFilter ref="E5:F5" xr:uid="{DD7FB4FF-FA90-4FC6-AD5B-A4465B00E0BA}"/>
  <mergeCells count="1">
    <mergeCell ref="B2:G3"/>
  </mergeCells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A4B4-A182-4031-9606-CA2BEB87BEC6}">
  <dimension ref="A1:N16"/>
  <sheetViews>
    <sheetView workbookViewId="0">
      <selection activeCell="G15" sqref="G15"/>
    </sheetView>
  </sheetViews>
  <sheetFormatPr defaultRowHeight="18.75"/>
  <sheetData>
    <row r="1" spans="1:14">
      <c r="A1" s="38"/>
      <c r="B1" s="39" t="s">
        <v>75</v>
      </c>
      <c r="C1" s="40" t="s">
        <v>76</v>
      </c>
      <c r="D1" s="40" t="s">
        <v>77</v>
      </c>
      <c r="E1" s="40" t="s">
        <v>78</v>
      </c>
      <c r="F1" s="40" t="s">
        <v>79</v>
      </c>
      <c r="G1" s="40" t="s">
        <v>80</v>
      </c>
      <c r="H1" s="41" t="s">
        <v>81</v>
      </c>
      <c r="I1" s="25"/>
      <c r="J1" s="25"/>
      <c r="K1" s="25"/>
      <c r="L1" s="25"/>
      <c r="M1" s="25"/>
      <c r="N1" s="25"/>
    </row>
    <row r="2" spans="1:14">
      <c r="A2" s="42" t="s">
        <v>90</v>
      </c>
      <c r="B2" s="26"/>
      <c r="C2" s="27"/>
      <c r="D2" s="27">
        <v>1</v>
      </c>
      <c r="E2" s="27">
        <v>2</v>
      </c>
      <c r="F2" s="27">
        <v>3</v>
      </c>
      <c r="G2" s="27">
        <v>4</v>
      </c>
      <c r="H2" s="43">
        <v>5</v>
      </c>
      <c r="I2" s="25"/>
      <c r="J2" s="25"/>
      <c r="K2" s="25"/>
      <c r="L2" s="25"/>
      <c r="M2" s="25"/>
      <c r="N2" s="25"/>
    </row>
    <row r="3" spans="1:14">
      <c r="A3" s="42"/>
      <c r="B3" s="35">
        <v>6</v>
      </c>
      <c r="C3" s="35">
        <v>7</v>
      </c>
      <c r="D3" s="35">
        <v>8</v>
      </c>
      <c r="E3" s="35">
        <v>9</v>
      </c>
      <c r="F3" s="35">
        <v>10</v>
      </c>
      <c r="G3" s="35">
        <v>11</v>
      </c>
      <c r="H3" s="44">
        <v>12</v>
      </c>
      <c r="I3" s="25"/>
      <c r="J3" s="25"/>
      <c r="K3" s="25"/>
      <c r="L3" s="25"/>
      <c r="M3" s="25"/>
      <c r="N3" s="25"/>
    </row>
    <row r="4" spans="1:14">
      <c r="A4" s="42"/>
      <c r="B4" s="35">
        <v>13</v>
      </c>
      <c r="C4" s="35">
        <v>14</v>
      </c>
      <c r="D4" s="28">
        <v>15</v>
      </c>
      <c r="E4" s="28">
        <v>16</v>
      </c>
      <c r="F4" s="28">
        <v>17</v>
      </c>
      <c r="G4" s="28">
        <v>18</v>
      </c>
      <c r="H4" s="53">
        <v>19</v>
      </c>
      <c r="I4" s="25"/>
      <c r="J4" s="25"/>
      <c r="K4" s="25"/>
      <c r="L4" s="25"/>
      <c r="M4" s="25"/>
      <c r="N4" s="25"/>
    </row>
    <row r="5" spans="1:14">
      <c r="A5" s="42"/>
      <c r="B5" s="28">
        <v>20</v>
      </c>
      <c r="C5" s="28">
        <v>21</v>
      </c>
      <c r="D5" s="28">
        <v>22</v>
      </c>
      <c r="E5" s="28">
        <v>23</v>
      </c>
      <c r="F5" s="28">
        <v>24</v>
      </c>
      <c r="G5" s="28">
        <v>25</v>
      </c>
      <c r="H5" s="53">
        <v>26</v>
      </c>
      <c r="I5" s="25"/>
      <c r="J5" s="25"/>
      <c r="K5" s="25"/>
      <c r="L5" s="25"/>
      <c r="M5" s="25"/>
      <c r="N5" s="25"/>
    </row>
    <row r="6" spans="1:14" ht="19.5" thickBot="1">
      <c r="A6" s="45"/>
      <c r="B6" s="28">
        <v>27</v>
      </c>
      <c r="C6" s="28">
        <v>28</v>
      </c>
      <c r="D6" s="28">
        <v>29</v>
      </c>
      <c r="E6" s="28">
        <v>30</v>
      </c>
      <c r="F6" s="35"/>
      <c r="G6" s="35"/>
      <c r="H6" s="44"/>
      <c r="I6" s="25"/>
      <c r="J6" s="25"/>
      <c r="K6" s="29"/>
      <c r="L6" s="25" t="s">
        <v>82</v>
      </c>
      <c r="M6" s="25"/>
      <c r="N6" s="25" t="s">
        <v>83</v>
      </c>
    </row>
    <row r="7" spans="1:14">
      <c r="A7" s="46" t="s">
        <v>91</v>
      </c>
      <c r="B7" s="36"/>
      <c r="C7" s="37"/>
      <c r="D7" s="37"/>
      <c r="E7" s="37"/>
      <c r="F7" s="55">
        <v>1</v>
      </c>
      <c r="G7" s="55">
        <v>2</v>
      </c>
      <c r="H7" s="56">
        <v>3</v>
      </c>
      <c r="I7" s="25"/>
      <c r="J7" s="25"/>
      <c r="K7" s="30"/>
      <c r="L7" s="25" t="s">
        <v>62</v>
      </c>
      <c r="M7" s="25"/>
      <c r="N7" s="25" t="s">
        <v>84</v>
      </c>
    </row>
    <row r="8" spans="1:14">
      <c r="A8" s="42"/>
      <c r="B8" s="54">
        <v>4</v>
      </c>
      <c r="C8" s="54">
        <v>5</v>
      </c>
      <c r="D8" s="54">
        <v>6</v>
      </c>
      <c r="E8" s="54">
        <v>7</v>
      </c>
      <c r="F8" s="34">
        <v>8</v>
      </c>
      <c r="G8" s="34">
        <v>9</v>
      </c>
      <c r="H8" s="57">
        <v>10</v>
      </c>
      <c r="I8" s="25"/>
      <c r="J8" s="25"/>
      <c r="K8" s="31"/>
      <c r="L8" s="25" t="s">
        <v>85</v>
      </c>
      <c r="M8" s="25"/>
      <c r="N8" s="25" t="s">
        <v>86</v>
      </c>
    </row>
    <row r="9" spans="1:14">
      <c r="A9" s="42"/>
      <c r="B9" s="34">
        <v>11</v>
      </c>
      <c r="C9" s="34">
        <v>12</v>
      </c>
      <c r="D9" s="34">
        <v>13</v>
      </c>
      <c r="E9" s="34">
        <v>14</v>
      </c>
      <c r="F9" s="51">
        <v>15</v>
      </c>
      <c r="G9" s="51">
        <v>16</v>
      </c>
      <c r="H9" s="52">
        <v>17</v>
      </c>
      <c r="I9" s="25"/>
      <c r="J9" s="25"/>
      <c r="K9" s="32"/>
      <c r="L9" s="25" t="s">
        <v>87</v>
      </c>
      <c r="M9" s="25"/>
      <c r="N9" s="25" t="s">
        <v>88</v>
      </c>
    </row>
    <row r="10" spans="1:14">
      <c r="A10" s="42"/>
      <c r="B10" s="51">
        <v>18</v>
      </c>
      <c r="C10" s="51">
        <v>19</v>
      </c>
      <c r="D10" s="50">
        <v>20</v>
      </c>
      <c r="E10" s="35">
        <v>21</v>
      </c>
      <c r="F10" s="35">
        <v>22</v>
      </c>
      <c r="G10" s="35">
        <v>23</v>
      </c>
      <c r="H10" s="44">
        <v>24</v>
      </c>
      <c r="I10" s="25"/>
      <c r="J10" s="25"/>
      <c r="K10" s="33"/>
      <c r="L10" s="25" t="s">
        <v>89</v>
      </c>
      <c r="M10" s="25"/>
      <c r="N10" s="25"/>
    </row>
    <row r="11" spans="1:14" ht="19.5" thickBot="1">
      <c r="A11" s="47"/>
      <c r="B11" s="48">
        <v>25</v>
      </c>
      <c r="C11" s="48">
        <v>26</v>
      </c>
      <c r="D11" s="48">
        <v>27</v>
      </c>
      <c r="E11" s="48">
        <v>28</v>
      </c>
      <c r="F11" s="48">
        <v>29</v>
      </c>
      <c r="G11" s="48">
        <v>30</v>
      </c>
      <c r="H11" s="49">
        <v>31</v>
      </c>
      <c r="I11" s="25"/>
      <c r="J11" s="25"/>
      <c r="K11" s="25"/>
      <c r="L11" s="25"/>
      <c r="M11" s="25"/>
      <c r="N11" s="25"/>
    </row>
    <row r="12" spans="1:14">
      <c r="I12" s="25"/>
      <c r="J12" s="25"/>
      <c r="K12" s="25"/>
      <c r="L12" s="25"/>
      <c r="M12" s="25"/>
      <c r="N12" s="25"/>
    </row>
    <row r="13" spans="1:14">
      <c r="I13" s="25"/>
      <c r="J13" s="25"/>
      <c r="K13" s="25"/>
      <c r="L13" s="25"/>
      <c r="M13" s="25"/>
      <c r="N13" s="25"/>
    </row>
    <row r="14" spans="1:14">
      <c r="I14" s="25"/>
      <c r="J14" s="25"/>
      <c r="K14" s="25"/>
      <c r="L14" s="25"/>
      <c r="M14" s="25"/>
      <c r="N14" s="25"/>
    </row>
    <row r="15" spans="1:14">
      <c r="I15" s="25"/>
      <c r="J15" s="25"/>
      <c r="K15" s="25"/>
      <c r="L15" s="25"/>
      <c r="M15" s="25"/>
      <c r="N15" s="25"/>
    </row>
    <row r="16" spans="1:14">
      <c r="I16" s="25"/>
      <c r="J16" s="25"/>
      <c r="K16" s="25"/>
      <c r="L16" s="25"/>
      <c r="M16" s="25"/>
      <c r="N16" s="25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4457C4DEF6B04C80335F04D9CFE9B8" ma:contentTypeVersion="15" ma:contentTypeDescription="新しいドキュメントを作成します。" ma:contentTypeScope="" ma:versionID="384833ccc4364158daff1dfa93252050">
  <xsd:schema xmlns:xsd="http://www.w3.org/2001/XMLSchema" xmlns:xs="http://www.w3.org/2001/XMLSchema" xmlns:p="http://schemas.microsoft.com/office/2006/metadata/properties" xmlns:ns2="42b7366e-3919-4bb8-9917-4115af4f71f0" xmlns:ns3="3fed6739-56b2-4f96-bdeb-921328dde709" targetNamespace="http://schemas.microsoft.com/office/2006/metadata/properties" ma:root="true" ma:fieldsID="8d3663068ba8e99c0b99c921911a4360" ns2:_="" ns3:_="">
    <xsd:import namespace="42b7366e-3919-4bb8-9917-4115af4f71f0"/>
    <xsd:import namespace="3fed6739-56b2-4f96-bdeb-921328dde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b7366e-3919-4bb8-9917-4115af4f7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d6739-56b2-4f96-bdeb-921328dde7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33731c5-1d9c-498f-8754-23ebfc73d042}" ma:internalName="TaxCatchAll" ma:showField="CatchAllData" ma:web="3fed6739-56b2-4f96-bdeb-921328dde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ed6739-56b2-4f96-bdeb-921328dde709" xsi:nil="true"/>
    <lcf76f155ced4ddcb4097134ff3c332f xmlns="42b7366e-3919-4bb8-9917-4115af4f71f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A044FE-1970-4C5E-9C63-D8FEC9524E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b7366e-3919-4bb8-9917-4115af4f71f0"/>
    <ds:schemaRef ds:uri="3fed6739-56b2-4f96-bdeb-921328dde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D2B120-A90D-496C-8884-A2A9574072D6}">
  <ds:schemaRefs>
    <ds:schemaRef ds:uri="http://schemas.microsoft.com/office/2006/metadata/properties"/>
    <ds:schemaRef ds:uri="http://schemas.microsoft.com/office/infopath/2007/PartnerControls"/>
    <ds:schemaRef ds:uri="3fed6739-56b2-4f96-bdeb-921328dde709"/>
    <ds:schemaRef ds:uri="42b7366e-3919-4bb8-9917-4115af4f71f0"/>
  </ds:schemaRefs>
</ds:datastoreItem>
</file>

<file path=customXml/itemProps3.xml><?xml version="1.0" encoding="utf-8"?>
<ds:datastoreItem xmlns:ds="http://schemas.openxmlformats.org/officeDocument/2006/customXml" ds:itemID="{393EE603-C983-481A-9007-FE0C7A6F70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埋まってるヤン編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teacherM</dc:creator>
  <cp:keywords/>
  <dc:description/>
  <cp:lastModifiedBy>連城　陸史</cp:lastModifiedBy>
  <cp:revision/>
  <dcterms:created xsi:type="dcterms:W3CDTF">2015-06-05T18:19:34Z</dcterms:created>
  <dcterms:modified xsi:type="dcterms:W3CDTF">2026-09-29T04:39:34Z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0x010100914457C4DEF6B04C80335F04D9CFE9B8</vt:lpwstr>
  </property>
  <property fmtid="{D5CDD505-2E9C-101B-9397-08002B2CF9AE}" pid="3" name="MediaServiceImageTags">
    <vt:lpwstr/>
  </property>
</Properties>
</file>